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13" documentId="8_{68F1CF77-0EDE-4716-A147-F736B8587023}" xr6:coauthVersionLast="47" xr6:coauthVersionMax="47" xr10:uidLastSave="{FA64F899-9ADC-4974-A614-E4866C9FD2D0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H10" i="1"/>
  <c r="H9" i="1"/>
  <c r="H8" i="1"/>
  <c r="H7" i="1"/>
  <c r="H6" i="1"/>
  <c r="H5" i="1"/>
  <c r="J10" i="1"/>
  <c r="J9" i="1"/>
  <c r="J8" i="1"/>
  <c r="J7" i="1"/>
  <c r="J6" i="1"/>
  <c r="J5" i="1"/>
  <c r="L11" i="1"/>
</calcChain>
</file>

<file path=xl/sharedStrings.xml><?xml version="1.0" encoding="utf-8"?>
<sst xmlns="http://schemas.openxmlformats.org/spreadsheetml/2006/main" count="59" uniqueCount="59">
  <si>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</si>
  <si>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</si>
  <si>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</si>
  <si>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</si>
  <si>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</si>
  <si>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</si>
  <si>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</si>
  <si>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</si>
  <si>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</si>
  <si>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entrega (tipo de fichero, longitud texto, etc).</t>
  </si>
  <si>
    <t>No entrega en PDF, longitud fuera de 8-12 páginas, sin secciones o desorganizado.</t>
  </si>
  <si>
    <t>PDF pero extensión inadecuada o estructura deficiente.</t>
  </si>
  <si>
    <t>PDF, 8-12 páginas, estructura básica, pero con errores de presentación u organización.</t>
  </si>
  <si>
    <t>PDF organizado, extensión correcta, portada y anexos básicos bien señalados.</t>
  </si>
  <si>
    <t>PDF impecable, 8-12 páginas reales, portada, índice, anexos bien referenciados y presentación formal.</t>
  </si>
  <si>
    <t>Uso de IA generativa (inclusión de norma de uso, uso no declarado, etc.)</t>
  </si>
  <si>
    <t>Uso no declarado, incumplimiento normativo o dependencia total de IA sin crítica ni aportación personal.</t>
  </si>
  <si>
    <t>Declaración mínima, descripciones vagas o empleo no justificado; ausencia de reflexión sobre las limitaciones del uso de IA.</t>
  </si>
  <si>
    <t>Declaración básica del uso y herramienta, pero con aportación limitada y justificación insuficiente.</t>
  </si>
  <si>
    <t>Uso ajustado a normativa con declaración clara, pero sin análisis crítico profundo ni reflexión ética detallada.</t>
  </si>
  <si>
    <t>Transparencia total: detalle riguroso (herramienta, alcance, ética, análisis crítico propio); o justificación razonada de no uso.</t>
  </si>
  <si>
    <t>Contenido</t>
  </si>
  <si>
    <t>Resumen</t>
  </si>
  <si>
    <t>Ausente o irrelevante; no refleja el objetivo ni resultados principales.</t>
  </si>
  <si>
    <t>Superficial; omite objetivos o hallazgos clave.</t>
  </si>
  <si>
    <t>Presenta una visión incompleta, sin mencionar claramente la aplicación de filtros ni resultados relevantes.</t>
  </si>
  <si>
    <t>Ofrece visión concisa del objetivo y resultados, pero con detalles poco claros o incompletos.</t>
  </si>
  <si>
    <t>Visión concisa del objetivo principal; menciona resultados relevantes y conclusiones clave; expone aportes específicos de los filtros en reducción de ruido, mejora de contraste y realce de detalles.</t>
  </si>
  <si>
    <t>Introducción</t>
  </si>
  <si>
    <t>No contextualiza la importancia del procesamiento digital ni de los filtros aplicados; los objetivos del informe no están claros ni definidos.</t>
  </si>
  <si>
    <t>Proporciona un contexto muy general y superficial sobre el tema; las referencias son escasas o irrelevantes; los objetivos resultan poco precisos o ambiguos.</t>
  </si>
  <si>
    <t>Contextualiza la importancia general del procesamiento digital y la aplicación de filtros, pero no profundiza en los tipos de filtros seleccionados ni justifica su pertinencia para el caso de estudio.</t>
  </si>
  <si>
    <t>Presenta el papel de los filtros espaciales y morfológicos, su relevancia en campos concretos, y justifica el interés mediante una breve comparación entre enfoques y una formulación clara de objetivos.</t>
  </si>
  <si>
    <t>Contextualiza de manera robusta la importancia del procesamiento digital y de los filtros espaciales y morfológicos; analiza su impacto en la calidad y la interpretabilidad de las imágenes; justifica claramente la selección de cada filtro según las características del problema y de las imágenes empleadas, presentando objetivos precisos y relevantes para el estudio y selección según características del problema e imagen.</t>
  </si>
  <si>
    <t>Material y Métodos</t>
  </si>
  <si>
    <t>No describe las técnicas de filtrado ni los criterios para la selección de imágenes; omite cualquier justificación; el procedimiento no es reproducible.</t>
  </si>
  <si>
    <t>Describe de manera superficial las técnicas y filtros usados; menciona pocos detalles del procedimiento o selección de imágenes; escasa o nula justificación técnica.</t>
  </si>
  <si>
    <t>Presenta las técnicas y filtros aplicados y describe cómo se seleccionaron las imágenes; procedimiento general descrito pero con falta de detalles o justificación.</t>
  </si>
  <si>
    <t>Explica claramente las técnicas de filtrado y criterios para la selección de imágenes; justifica de forma básica las elecciones; describe el procedimiento con suficiente detalle para entender el flujo del trabajo.</t>
  </si>
  <si>
    <t>Presenta una descripción exhaustiva y justificada de los filtros espaciales y morfológicos empleados, incluyendo sus ventajas; detalla los criterios de selección de imágenes; describiendo el procedimiento paso a paso de forma clara y detallada que garantiza su replicabilidad, sin hacer referencia a software específico.</t>
  </si>
  <si>
    <t>Resultados</t>
  </si>
  <si>
    <t>Poca o ninguna presentación visual o analítica; resultados confusos o incompletos.</t>
  </si>
  <si>
    <t>Presentación básica con pocas imágenes o gráficos; análisis limitado.</t>
  </si>
  <si>
    <t>Incluye imágenes, gráficos y tablas; interpretación básica de resultados.</t>
  </si>
  <si>
    <t>Buena presentación de imágenes y gráficos; análisis crítico; prioriza resultados relevantes.</t>
  </si>
  <si>
    <t>Presentación clara y optimizada con imágenes originales y procesadas, gráficos y tablas; análisis comparativo detallado sobre efectos de reducción de ruido, contraste, detección de bordes y morfología.</t>
  </si>
  <si>
    <t>Conclusiones</t>
  </si>
  <si>
    <t>Sin síntesis adecuada ni relación con resultados.</t>
  </si>
  <si>
    <t>Conclusiones generales sin profundidad ni reflexión crítica.</t>
  </si>
  <si>
    <t>Resume hallazgos sin discusión crítica ni futuras líneas de trabajo.</t>
  </si>
  <si>
    <t>Síntesis que valora eficacia y limitaciones; plantea futuras mejoras.</t>
  </si>
  <si>
    <t>Conclusiones profundas que valoran eficacia y limitaciones según contexto; alertan sobre artefactos; sugieren mejoras y líneas futuras.</t>
  </si>
  <si>
    <t>Referencias</t>
  </si>
  <si>
    <t>Ausentes o con formato incorrecto.</t>
  </si>
  <si>
    <t>Pocas referencias y errores repetidos.</t>
  </si>
  <si>
    <t>Referencias suficientes pero con inconsistencia en formato.</t>
  </si>
  <si>
    <t>Referencias variadas y mayormente correctas.</t>
  </si>
  <si>
    <t>Referencias completas, actualizadas y correctamente citadas según normas académicas.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</si>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</sst>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0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2" fontId="3" fillId="8" borderId="4" xfId="0" applyNumberFormat="1" applyFont="1" applyFill="1" applyBorder="1" applyAlignment="1">
      <alignment vertical="center" wrapText="1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32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759960</xdr:rowOff>
    </xdr:from>
    <xdr:to>
      <xdr:col>12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759960</xdr:rowOff>
    </xdr:from>
    <xdr:to>
      <xdr:col>12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90" zoomScaleNormal="90" workbookViewId="0">
      <selection activeCell="I5" sqref="I5"/>
    </sheetView>
  </sheetViews>
  <sheetFormatPr defaultColWidth="9" defaultRowHeight="14.4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>
      <c r="A1" s="11" t="s">
        <v>0</v>
      </c>
      <c r="B1" s="11"/>
      <c r="C1" s="15" t="s">
        <v>1</v>
      </c>
      <c r="D1" s="15"/>
      <c r="E1" s="15"/>
      <c r="F1" s="15"/>
      <c r="G1" s="15"/>
      <c r="H1" s="15"/>
      <c r="I1" s="15"/>
      <c r="J1" s="1"/>
      <c r="K1" s="1"/>
      <c r="L1" s="1"/>
      <c r="M1" s="16" t="s">
        <v>2</v>
      </c>
    </row>
    <row r="2" spans="1:13" ht="44.25" customHeight="1">
      <c r="A2" s="12"/>
      <c r="B2" s="12"/>
      <c r="C2" s="18" t="s">
        <v>3</v>
      </c>
      <c r="D2" s="19"/>
      <c r="E2" s="18" t="s">
        <v>4</v>
      </c>
      <c r="F2" s="19"/>
      <c r="G2" s="18" t="s">
        <v>5</v>
      </c>
      <c r="H2" s="19"/>
      <c r="I2" s="18" t="s">
        <v>6</v>
      </c>
      <c r="J2" s="19"/>
      <c r="K2" s="2" t="s">
        <v>7</v>
      </c>
      <c r="L2" s="2"/>
      <c r="M2" s="16"/>
    </row>
    <row r="3" spans="1:13" ht="84" customHeight="1">
      <c r="A3" s="17" t="s">
        <v>8</v>
      </c>
      <c r="B3" s="4" t="s">
        <v>9</v>
      </c>
      <c r="C3" s="5" t="s">
        <v>10</v>
      </c>
      <c r="D3" s="10">
        <v>-3</v>
      </c>
      <c r="E3" s="5" t="s">
        <v>11</v>
      </c>
      <c r="F3" s="10">
        <v>-2</v>
      </c>
      <c r="G3" s="5" t="s">
        <v>12</v>
      </c>
      <c r="H3" s="10">
        <v>-1</v>
      </c>
      <c r="I3" s="5" t="s">
        <v>13</v>
      </c>
      <c r="J3" s="10">
        <v>-0.5</v>
      </c>
      <c r="K3" s="5" t="s">
        <v>14</v>
      </c>
      <c r="L3" s="6">
        <v>0</v>
      </c>
      <c r="M3" s="5"/>
    </row>
    <row r="4" spans="1:13" ht="101.45" customHeight="1">
      <c r="A4" s="17"/>
      <c r="B4" s="4" t="s">
        <v>15</v>
      </c>
      <c r="C4" s="5" t="s">
        <v>16</v>
      </c>
      <c r="D4" s="10">
        <v>-10</v>
      </c>
      <c r="E4" s="5" t="s">
        <v>17</v>
      </c>
      <c r="F4" s="10">
        <v>-7.5</v>
      </c>
      <c r="G4" s="5" t="s">
        <v>18</v>
      </c>
      <c r="H4" s="10">
        <v>-5</v>
      </c>
      <c r="I4" s="5" t="s">
        <v>19</v>
      </c>
      <c r="J4" s="10">
        <v>-2.5</v>
      </c>
      <c r="K4" s="5" t="s">
        <v>20</v>
      </c>
      <c r="L4" s="6">
        <v>0</v>
      </c>
      <c r="M4" s="5"/>
    </row>
    <row r="5" spans="1:13" ht="120" customHeight="1">
      <c r="A5" s="13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f>0.25*L5</f>
        <v>0.25</v>
      </c>
      <c r="G5" s="5" t="s">
        <v>25</v>
      </c>
      <c r="H5" s="6">
        <f>0.5*L5</f>
        <v>0.5</v>
      </c>
      <c r="I5" s="5" t="s">
        <v>26</v>
      </c>
      <c r="J5" s="6">
        <f>0.75*L5</f>
        <v>0.75</v>
      </c>
      <c r="K5" s="5" t="s">
        <v>27</v>
      </c>
      <c r="L5" s="6">
        <v>1</v>
      </c>
      <c r="M5" s="5"/>
    </row>
    <row r="6" spans="1:13" ht="96.75" customHeight="1">
      <c r="A6" s="14"/>
      <c r="B6" s="4" t="s">
        <v>28</v>
      </c>
      <c r="C6" s="5" t="s">
        <v>29</v>
      </c>
      <c r="D6" s="6">
        <v>0</v>
      </c>
      <c r="E6" s="5" t="s">
        <v>30</v>
      </c>
      <c r="F6" s="6">
        <f t="shared" ref="F6:F10" si="0">0.25*L6</f>
        <v>0.375</v>
      </c>
      <c r="G6" s="5" t="s">
        <v>31</v>
      </c>
      <c r="H6" s="6">
        <f t="shared" ref="H6:H10" si="1">0.5*L6</f>
        <v>0.75</v>
      </c>
      <c r="I6" s="5" t="s">
        <v>32</v>
      </c>
      <c r="J6" s="6">
        <f t="shared" ref="J6:J10" si="2">0.75*L6</f>
        <v>1.125</v>
      </c>
      <c r="K6" s="5" t="s">
        <v>33</v>
      </c>
      <c r="L6" s="6">
        <v>1.5</v>
      </c>
      <c r="M6" s="5"/>
    </row>
    <row r="7" spans="1:13" ht="113.25" customHeight="1">
      <c r="A7" s="14"/>
      <c r="B7" s="4" t="s">
        <v>34</v>
      </c>
      <c r="C7" s="5" t="s">
        <v>35</v>
      </c>
      <c r="D7" s="6">
        <v>0</v>
      </c>
      <c r="E7" s="5" t="s">
        <v>36</v>
      </c>
      <c r="F7" s="6">
        <f t="shared" si="0"/>
        <v>0.5</v>
      </c>
      <c r="G7" s="5" t="s">
        <v>37</v>
      </c>
      <c r="H7" s="6">
        <f t="shared" si="1"/>
        <v>1</v>
      </c>
      <c r="I7" s="5" t="s">
        <v>38</v>
      </c>
      <c r="J7" s="6">
        <f t="shared" si="2"/>
        <v>1.5</v>
      </c>
      <c r="K7" s="5" t="s">
        <v>39</v>
      </c>
      <c r="L7" s="6">
        <v>2</v>
      </c>
      <c r="M7" s="7"/>
    </row>
    <row r="8" spans="1:13" ht="79.5" customHeight="1">
      <c r="A8" s="14"/>
      <c r="B8" s="4" t="s">
        <v>40</v>
      </c>
      <c r="C8" s="5" t="s">
        <v>41</v>
      </c>
      <c r="D8" s="6">
        <v>0</v>
      </c>
      <c r="E8" s="5" t="s">
        <v>42</v>
      </c>
      <c r="F8" s="6">
        <f t="shared" si="0"/>
        <v>0.875</v>
      </c>
      <c r="G8" s="5" t="s">
        <v>43</v>
      </c>
      <c r="H8" s="6">
        <f t="shared" si="1"/>
        <v>1.75</v>
      </c>
      <c r="I8" s="5" t="s">
        <v>44</v>
      </c>
      <c r="J8" s="6">
        <f t="shared" si="2"/>
        <v>2.625</v>
      </c>
      <c r="K8" s="5" t="s">
        <v>45</v>
      </c>
      <c r="L8" s="6">
        <v>3.5</v>
      </c>
      <c r="M8" s="7"/>
    </row>
    <row r="9" spans="1:13" ht="84.95" customHeight="1">
      <c r="A9" s="14"/>
      <c r="B9" s="4" t="s">
        <v>46</v>
      </c>
      <c r="C9" s="5" t="s">
        <v>47</v>
      </c>
      <c r="D9" s="6">
        <v>0</v>
      </c>
      <c r="E9" s="5" t="s">
        <v>48</v>
      </c>
      <c r="F9" s="6">
        <f t="shared" si="0"/>
        <v>0.375</v>
      </c>
      <c r="G9" s="5" t="s">
        <v>49</v>
      </c>
      <c r="H9" s="6">
        <f t="shared" si="1"/>
        <v>0.75</v>
      </c>
      <c r="I9" s="5" t="s">
        <v>50</v>
      </c>
      <c r="J9" s="6">
        <f t="shared" si="2"/>
        <v>1.125</v>
      </c>
      <c r="K9" s="5" t="s">
        <v>51</v>
      </c>
      <c r="L9" s="6">
        <v>1.5</v>
      </c>
      <c r="M9" s="7"/>
    </row>
    <row r="10" spans="1:13" ht="101.25" customHeight="1">
      <c r="A10" s="14"/>
      <c r="B10" s="4" t="s">
        <v>52</v>
      </c>
      <c r="C10" s="5" t="s">
        <v>53</v>
      </c>
      <c r="D10" s="6">
        <v>0</v>
      </c>
      <c r="E10" s="5" t="s">
        <v>54</v>
      </c>
      <c r="F10" s="6">
        <f t="shared" si="0"/>
        <v>0.125</v>
      </c>
      <c r="G10" s="5" t="s">
        <v>55</v>
      </c>
      <c r="H10" s="6">
        <f t="shared" si="1"/>
        <v>0.25</v>
      </c>
      <c r="I10" s="5" t="s">
        <v>56</v>
      </c>
      <c r="J10" s="6">
        <f t="shared" si="2"/>
        <v>0.375</v>
      </c>
      <c r="K10" s="5" t="s">
        <v>57</v>
      </c>
      <c r="L10" s="6">
        <v>0.5</v>
      </c>
      <c r="M10" s="7"/>
    </row>
    <row r="11" spans="1:13">
      <c r="J11" s="3"/>
      <c r="K11" s="8" t="s">
        <v>58</v>
      </c>
      <c r="L11" s="9">
        <f>SUM(L5:L10)</f>
        <v>10</v>
      </c>
    </row>
  </sheetData>
  <mergeCells count="9">
    <mergeCell ref="A1:B2"/>
    <mergeCell ref="A5:A10"/>
    <mergeCell ref="C1:I1"/>
    <mergeCell ref="M1:M2"/>
    <mergeCell ref="A3:A4"/>
    <mergeCell ref="C2:D2"/>
    <mergeCell ref="E2:F2"/>
    <mergeCell ref="G2:H2"/>
    <mergeCell ref="I2:J2"/>
  </mergeCells>
  <conditionalFormatting sqref="C3:C10">
    <cfRule type="expression" dxfId="31" priority="24">
      <formula>(#REF!=$I$2)</formula>
    </cfRule>
    <cfRule type="expression" dxfId="30" priority="25">
      <formula>(#REF!&lt;&gt;$I$2)</formula>
    </cfRule>
  </conditionalFormatting>
  <conditionalFormatting sqref="D3:D10">
    <cfRule type="expression" dxfId="29" priority="27">
      <formula>(#REF!=$C$2)</formula>
    </cfRule>
    <cfRule type="expression" dxfId="28" priority="28">
      <formula>(#REF!&lt;&gt;$C$2)</formula>
    </cfRule>
  </conditionalFormatting>
  <conditionalFormatting sqref="C3:C10 E3:E10 K5:K10 D3:L3 D5:I10 D4:H4 L4">
    <cfRule type="expression" dxfId="27" priority="29">
      <formula>(#REF!="")</formula>
    </cfRule>
  </conditionalFormatting>
  <conditionalFormatting sqref="E3:E10">
    <cfRule type="expression" dxfId="26" priority="22">
      <formula>(#REF!=$G$2)</formula>
    </cfRule>
    <cfRule type="expression" dxfId="25" priority="23">
      <formula>(#REF!&lt;&gt;$G$2)</formula>
    </cfRule>
  </conditionalFormatting>
  <conditionalFormatting sqref="E3:H10">
    <cfRule type="expression" dxfId="24" priority="30">
      <formula>(#REF!=$E$2)</formula>
    </cfRule>
    <cfRule type="expression" dxfId="23" priority="31">
      <formula>(#REF!&lt;&gt;$E$2)</formula>
    </cfRule>
  </conditionalFormatting>
  <conditionalFormatting sqref="G3:G4">
    <cfRule type="expression" dxfId="22" priority="20">
      <formula>(#REF!=$G$2)</formula>
    </cfRule>
    <cfRule type="expression" dxfId="21" priority="21">
      <formula>(#REF!&lt;&gt;$G$2)</formula>
    </cfRule>
  </conditionalFormatting>
  <conditionalFormatting sqref="G3:H10">
    <cfRule type="expression" dxfId="20" priority="32">
      <formula>(#REF!=$G$2)</formula>
    </cfRule>
    <cfRule type="expression" dxfId="19" priority="33">
      <formula>(#REF!&lt;&gt;$G$2)</formula>
    </cfRule>
  </conditionalFormatting>
  <conditionalFormatting sqref="I3:L3 K5:K10 L4 I5:I10">
    <cfRule type="expression" dxfId="18" priority="34">
      <formula>(#REF!=$I$2)</formula>
    </cfRule>
    <cfRule type="expression" dxfId="17" priority="35">
      <formula>(#REF!&lt;&gt;$I$2)</formula>
    </cfRule>
  </conditionalFormatting>
  <conditionalFormatting sqref="F3">
    <cfRule type="expression" dxfId="16" priority="18">
      <formula>(#REF!=$C$2)</formula>
    </cfRule>
    <cfRule type="expression" dxfId="15" priority="19">
      <formula>(#REF!&lt;&gt;$C$2)</formula>
    </cfRule>
  </conditionalFormatting>
  <conditionalFormatting sqref="F4">
    <cfRule type="expression" dxfId="14" priority="16">
      <formula>(#REF!=$C$2)</formula>
    </cfRule>
    <cfRule type="expression" dxfId="13" priority="17">
      <formula>(#REF!&lt;&gt;$C$2)</formula>
    </cfRule>
  </conditionalFormatting>
  <conditionalFormatting sqref="H3">
    <cfRule type="expression" dxfId="12" priority="14">
      <formula>(#REF!=$C$2)</formula>
    </cfRule>
    <cfRule type="expression" dxfId="11" priority="15">
      <formula>(#REF!&lt;&gt;$C$2)</formula>
    </cfRule>
  </conditionalFormatting>
  <conditionalFormatting sqref="H4">
    <cfRule type="expression" dxfId="10" priority="12">
      <formula>(#REF!=$C$2)</formula>
    </cfRule>
    <cfRule type="expression" dxfId="9" priority="13">
      <formula>(#REF!&lt;&gt;$C$2)</formula>
    </cfRule>
  </conditionalFormatting>
  <conditionalFormatting sqref="J3">
    <cfRule type="expression" dxfId="8" priority="10">
      <formula>(#REF!=$C$2)</formula>
    </cfRule>
    <cfRule type="expression" dxfId="7" priority="11">
      <formula>(#REF!&lt;&gt;$C$2)</formula>
    </cfRule>
  </conditionalFormatting>
  <conditionalFormatting sqref="I4:K4">
    <cfRule type="expression" dxfId="6" priority="5">
      <formula>(#REF!="")</formula>
    </cfRule>
  </conditionalFormatting>
  <conditionalFormatting sqref="I4:K4">
    <cfRule type="expression" dxfId="5" priority="6">
      <formula>(#REF!=$I$2)</formula>
    </cfRule>
    <cfRule type="expression" dxfId="4" priority="7">
      <formula>(#REF!&lt;&gt;$I$2)</formula>
    </cfRule>
  </conditionalFormatting>
  <conditionalFormatting sqref="J4">
    <cfRule type="expression" dxfId="3" priority="3">
      <formula>(#REF!=$E$2)</formula>
    </cfRule>
    <cfRule type="expression" dxfId="2" priority="4">
      <formula>(#REF!&lt;&gt;$E$2)</formula>
    </cfRule>
  </conditionalFormatting>
  <conditionalFormatting sqref="J4">
    <cfRule type="expression" dxfId="1" priority="1">
      <formula>(#REF!=$C$2)</formula>
    </cfRule>
    <cfRule type="expression" dxfId="0" priority="2">
      <formula>(#REF!&lt;&gt;$C$2)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38524-9CB5-47A0-83C1-C5E2690A601D}"/>
</file>

<file path=customXml/itemProps2.xml><?xml version="1.0" encoding="utf-8"?>
<ds:datastoreItem xmlns:ds="http://schemas.openxmlformats.org/officeDocument/2006/customXml" ds:itemID="{9621CEFC-D76D-4671-B272-6BF91F4FC426}"/>
</file>

<file path=customXml/itemProps3.xml><?xml version="1.0" encoding="utf-8"?>
<ds:datastoreItem xmlns:ds="http://schemas.openxmlformats.org/officeDocument/2006/customXml" ds:itemID="{25685840-A8CC-4E18-B61C-DB71722D6989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ABDELMALIK MOUJAHID</cp:lastModifiedBy>
  <cp:revision>1</cp:revision>
  <dcterms:created xsi:type="dcterms:W3CDTF">2015-06-05T18:19:34Z</dcterms:created>
  <dcterms:modified xsi:type="dcterms:W3CDTF">2026-02-13T10:48:37Z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